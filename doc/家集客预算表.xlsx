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<sst xmlns="http://schemas.openxmlformats.org/spreadsheetml/2006/main" count="127" uniqueCount="125">
  <si>
    <t>序号</t>
  </si>
  <si>
    <t>敷设方式</t>
  </si>
  <si>
    <t>类别</t>
  </si>
  <si>
    <t>折扣后（含税）37%/元</t>
  </si>
  <si>
    <t>数量</t>
  </si>
  <si>
    <t>合计</t>
  </si>
  <si>
    <t>熔纤及测试</t>
  </si>
  <si>
    <t>接头盒熔接，元/芯</t>
  </si>
  <si>
    <t>光缆成端熔接，元/芯</t>
  </si>
  <si>
    <t>新建架空(新建杆路)</t>
  </si>
  <si>
    <t>新建架空杆路(新建杆路吊线、不架设光缆)，元/公里</t>
  </si>
  <si>
    <t>平原新建架空杆路每公里，元/公里</t>
  </si>
  <si>
    <t>利旧杆路（木杆）架空（新设吊线）</t>
  </si>
  <si>
    <t>木杆平原利旧架空每公里(新设吊线)，元/公里</t>
  </si>
  <si>
    <t>利旧杆路敷设吊线(铁丝)</t>
  </si>
  <si>
    <t>利旧木杆敷设吊线(铁丝)，元/公里</t>
  </si>
  <si>
    <t>利旧杆路架空（利旧吊线）</t>
  </si>
  <si>
    <t>平原原杆原吊线附挂每公里(利旧吊线)，元/公里</t>
  </si>
  <si>
    <t>直埋光缆</t>
  </si>
  <si>
    <t>平原直埋每公里（硬土，沟深0.3M-0.6M,含0.3M），元/公里</t>
  </si>
  <si>
    <t>墙壁光缆</t>
  </si>
  <si>
    <t>吊线式墙壁光缆每公里（新建铁丝软吊，含架设光缆），元/公里</t>
  </si>
  <si>
    <t>吊线式墙壁光缆每公里（附挂或不加吊线），元/公里</t>
  </si>
  <si>
    <t>钉固式墙壁光缆每公里，元/公里</t>
  </si>
  <si>
    <t>管道光缆</t>
  </si>
  <si>
    <t>管道穿缆每公里(48芯以下)，元/公里</t>
  </si>
  <si>
    <t>廊道光缆</t>
  </si>
  <si>
    <t>廊道穿缆.每公里，元/公里</t>
  </si>
  <si>
    <t>桥架光缆</t>
  </si>
  <si>
    <t>桥架、线槽、网络地板内明布光缆，元/公里</t>
  </si>
  <si>
    <t>户线不入户（城中村场景）蝶形光缆</t>
  </si>
  <si>
    <t>户线不入户（城中村场景）蝶形光缆，（二级分纤点至用户门头，包含皮线敷设+水平垂直线槽敷设+单侧熔纤+墙洞）；元/户</t>
  </si>
  <si>
    <t>户线入户（城中村场景）蝶形光缆</t>
  </si>
  <si>
    <t>户线入户（城中村场景）蝶形光缆，（二级分纤点至用户家里，包含皮线敷设+水平垂直线槽敷设+双侧熔纤+墙洞）；元/户</t>
  </si>
  <si>
    <t>户线不入户（小区场景）蝶形光缆</t>
  </si>
  <si>
    <t>户线不入户（小区场景）蝶形光缆，（二级分纤点至用户门头，包含皮线敷设+水平垂直线槽敷设+单熔纤+墙洞）；元/户</t>
  </si>
  <si>
    <t>户线入户（小区场景）蝶形光缆</t>
  </si>
  <si>
    <t>户线入户（小区场景）蝶形光缆，（二级分纤点至用户家里，包含皮线敷设+水平垂直线槽敷设+双侧熔纤+墙洞）；元/户</t>
  </si>
  <si>
    <t>酒店、宾馆、集团单位综合布线</t>
  </si>
  <si>
    <t>酒店、宾馆、集团单位综合布线含网线敷设、标签制作、含跳线、水晶头、以及网线测试；元/户</t>
  </si>
  <si>
    <t>分纤箱安装（不限于分纤箱、综合箱等箱体）</t>
  </si>
  <si>
    <t>安装光缆终端盒，元/个</t>
  </si>
  <si>
    <t>安装壁挂式分纤箱，元/个</t>
  </si>
  <si>
    <t>安装抱杆式分纤箱，元/个</t>
  </si>
  <si>
    <t>光缆交接箱安装</t>
  </si>
  <si>
    <t>安装144芯以下壁挂、抱杆式光交，元/座</t>
  </si>
  <si>
    <t>安装288芯以下壁挂、抱杆式光交，元/座</t>
  </si>
  <si>
    <t>安装288芯以下落地式光交，元/座</t>
  </si>
  <si>
    <t>安装ODF整架/子架/子盘</t>
  </si>
  <si>
    <t>安装ODF整架（含架内子框及子盘）含搬运，元/架</t>
  </si>
  <si>
    <t>拆装ODF子框（含框内子盘），元/个</t>
  </si>
  <si>
    <t>安装分光器</t>
  </si>
  <si>
    <t>安装、调测分光器（含分光器插接尾纤），元/个</t>
  </si>
  <si>
    <t>尾纤跳接</t>
  </si>
  <si>
    <t>机房、客户端跳纤（跳纤至设备），元/条</t>
  </si>
  <si>
    <t>光交跳纤，元/条</t>
  </si>
  <si>
    <t>网线跳线</t>
  </si>
  <si>
    <t>网线跳线（3米内），元/条</t>
  </si>
  <si>
    <t>安装机房侧接入设备</t>
  </si>
  <si>
    <t>安装、调测机房侧大中型设备（含设备自带线缆插接），元/台</t>
  </si>
  <si>
    <t>安装用户端接入设备</t>
  </si>
  <si>
    <t>安装、调测用户端接入设备（含设备自带线缆插接），元/台</t>
  </si>
  <si>
    <t>安装综合机柜</t>
  </si>
  <si>
    <t>安装综合柜机架（含搬运），元/台</t>
  </si>
  <si>
    <t>用户端设备搬迁</t>
  </si>
  <si>
    <t>用户端设备搬迁（拆除及新装），元/台</t>
  </si>
  <si>
    <t>打穿楼层洞、墙洞</t>
  </si>
  <si>
    <t>打穿楼墙洞、楼层洞（电钻），元/个</t>
  </si>
  <si>
    <t>墙壁开槽及恢复</t>
  </si>
  <si>
    <t>开槽混凝土墙，元/米</t>
  </si>
  <si>
    <t>开槽砖墙，元/米</t>
  </si>
  <si>
    <t>新设引上钢管</t>
  </si>
  <si>
    <t>新设引上钢管（每处按照3米计列，含Ф50镀锌钢管3米、五孔梅花管3米）包工包料，元/根</t>
  </si>
  <si>
    <t>新设引上钢管（每处按照3米计列，含Ф110镀锌钢管3米、五孔梅花管3米）包工包料，元/根</t>
  </si>
  <si>
    <t>单独立杆</t>
  </si>
  <si>
    <t>立8.5米以下木杆，元/根</t>
  </si>
  <si>
    <t>立木撑杆，元/根</t>
  </si>
  <si>
    <t>立10米以下单接杆，元/根</t>
  </si>
  <si>
    <t>立15米以下品接杆，元/根</t>
  </si>
  <si>
    <t>杆根保护</t>
  </si>
  <si>
    <t>杆根保护（木绑桩），元/处</t>
  </si>
  <si>
    <t>安装吊线保护装置</t>
  </si>
  <si>
    <t>安装电力保护套管，元/米</t>
  </si>
  <si>
    <t>安装跨路警示牌，元/处</t>
  </si>
  <si>
    <t>杆路整修</t>
  </si>
  <si>
    <t>新增拉线7/2.6，（含隔电子、拉线警示管）元/条</t>
  </si>
  <si>
    <t>拆装更换7/2.6拉线（含隔电子、拉线警示管），元/条</t>
  </si>
  <si>
    <t>新建拉线</t>
  </si>
  <si>
    <t>新建拉线，条</t>
  </si>
  <si>
    <t>角杆替换</t>
  </si>
  <si>
    <t>角杆替换，个</t>
  </si>
  <si>
    <t>紧光缆吊线（平原/山区，48芯及以下）</t>
  </si>
  <si>
    <t>紧光缆吊线（平原/山区，48芯及以下），元/皮长公里</t>
  </si>
  <si>
    <t>光缆拆除</t>
  </si>
  <si>
    <t>架空光缆拆除（架空光缆拆除，按照钢绞线长度及条数计取费用，第一条计取拆除全费用，第一条以后钢绞线按照0.1系数计取）元/公里</t>
  </si>
  <si>
    <t>墙壁钉固光缆拆除（墙壁钉固式光缆、拆除第一条计取拆除全费用，第一条以后拆除的按照0.5系数计取），元/公里</t>
  </si>
  <si>
    <t>墙壁吊线式光缆拆除（墙壁吊线式光缆、拆除第一条计取拆除全费用，第一条以后拆除的按照0.5系数计取），元/公里</t>
  </si>
  <si>
    <t>管道光缆拆除（管道光缆拆除第一条计取拆除全费用，第一条以后拆除的按照0.5系数计取）元/公里</t>
  </si>
  <si>
    <t>局内、顶棚、槽道光缆拆除，元/公里</t>
  </si>
  <si>
    <t>总计</t>
  </si>
  <si>
    <t>材料</t>
  </si>
  <si>
    <t>含税</t>
  </si>
  <si>
    <t>合计（元）</t>
  </si>
  <si>
    <t>6120E\32GB\基本型\直流\</t>
  </si>
  <si>
    <t>6120E\32GB\基本型\交流\</t>
  </si>
  <si>
    <t>机柜60*60</t>
  </si>
  <si>
    <t>小P</t>
  </si>
  <si>
    <t>中兴\F800\GPON\4×GE\室外型</t>
  </si>
  <si>
    <t>华为\MA5671\GPON\4×GE\无POE</t>
  </si>
  <si>
    <t>华为\B650\8个网口\8个语言口</t>
  </si>
  <si>
    <t>迈普\S4320-56TC\4个10GE\48个GE电</t>
  </si>
  <si>
    <t>路由器\烽火\FR2610-420\4个GE光口\4个GE电口\交流直流任选</t>
  </si>
  <si>
    <t>路由器光纤模块\烽火\GE\单模\15km</t>
  </si>
  <si>
    <t>普通光缆\/GYTS\/G.652D\/12\/</t>
  </si>
  <si>
    <t>光分路器\/插片式\/SC/UPC\/1:32\/</t>
  </si>
  <si>
    <t>二层交换机\迈普\S3320-28TC\4个10GE端口\24个GE电口</t>
  </si>
  <si>
    <t>光缆分纤箱\/金属\/抱杆式\/旋转结构\/420×320×125\/插片式\/\/32\/\/SC</t>
  </si>
  <si>
    <t>光缆分纤箱\/金属\/抱杆式\/\/420×320×125\/\/48\/\/\/FC</t>
  </si>
  <si>
    <t>光缆分纤箱\/金属\/壁挂式\/\/450×400×170\/\/72\/\/\/FC</t>
  </si>
  <si>
    <t>光缆分纤箱\/金属\/壁挂式\/旋转结构\/340×265×120\/插片式\/\/16\/\/SC</t>
  </si>
  <si>
    <t>光分路器\/插片式\/SC/UPC\/1:8\/</t>
  </si>
  <si>
    <t>光分路器\/插片式\/SC/UPC\/1:4\/</t>
  </si>
  <si>
    <t>7米油木杆</t>
  </si>
  <si>
    <t>2.2钢绞线</t>
  </si>
  <si>
    <t>2.6钢绞线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</si>
</sst>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1"/>
      <color theme="1"/>
      <name val="宋体"/>
      <charset val="134"/>
      <scheme val="minor"/>
    </font>
    <font>
      <sz val="11"/>
      <color rgb="FF333333"/>
      <name val="Helvetica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b/>
      <sz val="10.5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name val="宋体"/>
      <charset val="134"/>
      <scheme val="minor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176" fontId="0" fillId="0" borderId="1" xfId="0" applyNumberForma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workbookViewId="0">
      <selection activeCell="D2" sqref="D2:D58"/>
    </sheetView>
  </sheetViews>
  <sheetFormatPr defaultColWidth="9.23076923076923" defaultRowHeight="16.8" outlineLevelCol="5"/>
  <sheetData>
    <row r="1" ht="47" spans="1:6">
      <c r="A1" s="10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3" t="s">
        <v>5</v>
      </c>
    </row>
    <row r="2" ht="47" spans="1:6">
      <c r="A2" s="13">
        <v>1</v>
      </c>
      <c r="B2" s="14" t="s">
        <v>6</v>
      </c>
      <c r="C2" s="15" t="s">
        <v>7</v>
      </c>
      <c r="D2" s="16"/>
      <c r="E2" s="13"/>
      <c r="F2" s="13">
        <f t="shared" ref="F2:F58" si="0">D2*E2</f>
        <v>0</v>
      </c>
    </row>
    <row r="3" ht="47" spans="1:6">
      <c r="A3" s="13">
        <v>2</v>
      </c>
      <c r="B3" s="17"/>
      <c r="C3" s="18" t="s">
        <v>8</v>
      </c>
      <c r="D3" s="16"/>
      <c r="E3" s="13"/>
      <c r="F3" s="13">
        <f t="shared" si="0"/>
        <v>0</v>
      </c>
    </row>
    <row r="4" ht="110" spans="1:6">
      <c r="A4" s="13">
        <v>3</v>
      </c>
      <c r="B4" s="14" t="s">
        <v>9</v>
      </c>
      <c r="C4" s="15" t="s">
        <v>10</v>
      </c>
      <c r="D4" s="19"/>
      <c r="E4" s="13"/>
      <c r="F4" s="13">
        <f t="shared" si="0"/>
        <v>0</v>
      </c>
    </row>
    <row r="5" ht="63" spans="1:6">
      <c r="A5" s="13">
        <v>4</v>
      </c>
      <c r="B5" s="20"/>
      <c r="C5" s="15" t="s">
        <v>11</v>
      </c>
      <c r="D5" s="19"/>
      <c r="E5" s="13"/>
      <c r="F5" s="13">
        <f t="shared" si="0"/>
        <v>0</v>
      </c>
    </row>
    <row r="6" ht="94" spans="1:6">
      <c r="A6" s="13">
        <v>5</v>
      </c>
      <c r="B6" s="14" t="s">
        <v>12</v>
      </c>
      <c r="C6" s="15" t="s">
        <v>13</v>
      </c>
      <c r="D6" s="19"/>
      <c r="E6" s="13"/>
      <c r="F6" s="13">
        <f t="shared" si="0"/>
        <v>0</v>
      </c>
    </row>
    <row r="7" ht="63" spans="1:6">
      <c r="A7" s="13">
        <v>6</v>
      </c>
      <c r="B7" s="14" t="s">
        <v>14</v>
      </c>
      <c r="C7" s="15" t="s">
        <v>15</v>
      </c>
      <c r="D7" s="19"/>
      <c r="E7" s="13"/>
      <c r="F7" s="13">
        <f t="shared" si="0"/>
        <v>0</v>
      </c>
    </row>
    <row r="8" ht="94" spans="1:6">
      <c r="A8" s="13">
        <v>7</v>
      </c>
      <c r="B8" s="14" t="s">
        <v>16</v>
      </c>
      <c r="C8" s="15" t="s">
        <v>17</v>
      </c>
      <c r="D8" s="19"/>
      <c r="E8" s="13"/>
      <c r="F8" s="13">
        <f t="shared" si="0"/>
        <v>0</v>
      </c>
    </row>
    <row r="9" ht="125" spans="1:6">
      <c r="A9" s="13">
        <v>8</v>
      </c>
      <c r="B9" s="15" t="s">
        <v>18</v>
      </c>
      <c r="C9" s="15" t="s">
        <v>19</v>
      </c>
      <c r="D9" s="19"/>
      <c r="E9" s="13"/>
      <c r="F9" s="13">
        <f t="shared" si="0"/>
        <v>0</v>
      </c>
    </row>
    <row r="10" ht="125" spans="1:6">
      <c r="A10" s="13">
        <v>9</v>
      </c>
      <c r="B10" s="15" t="s">
        <v>20</v>
      </c>
      <c r="C10" s="15" t="s">
        <v>21</v>
      </c>
      <c r="D10" s="19"/>
      <c r="E10" s="13"/>
      <c r="F10" s="13">
        <f t="shared" si="0"/>
        <v>0</v>
      </c>
    </row>
    <row r="11" ht="94" spans="1:6">
      <c r="A11" s="13">
        <v>10</v>
      </c>
      <c r="B11" s="15"/>
      <c r="C11" s="15" t="s">
        <v>22</v>
      </c>
      <c r="D11" s="19"/>
      <c r="E11" s="13"/>
      <c r="F11" s="13">
        <f t="shared" si="0"/>
        <v>0</v>
      </c>
    </row>
    <row r="12" ht="63" spans="1:6">
      <c r="A12" s="13">
        <v>11</v>
      </c>
      <c r="B12" s="15"/>
      <c r="C12" s="15" t="s">
        <v>23</v>
      </c>
      <c r="D12" s="19"/>
      <c r="E12" s="13"/>
      <c r="F12" s="13">
        <f t="shared" si="0"/>
        <v>0</v>
      </c>
    </row>
    <row r="13" ht="78" spans="1:6">
      <c r="A13" s="13">
        <v>12</v>
      </c>
      <c r="B13" s="15" t="s">
        <v>24</v>
      </c>
      <c r="C13" s="15" t="s">
        <v>25</v>
      </c>
      <c r="D13" s="19"/>
      <c r="E13" s="13"/>
      <c r="F13" s="13">
        <f t="shared" si="0"/>
        <v>0</v>
      </c>
    </row>
    <row r="14" ht="47" spans="1:6">
      <c r="A14" s="13">
        <v>13</v>
      </c>
      <c r="B14" s="15" t="s">
        <v>26</v>
      </c>
      <c r="C14" s="15" t="s">
        <v>27</v>
      </c>
      <c r="D14" s="19"/>
      <c r="E14" s="13"/>
      <c r="F14" s="13">
        <f t="shared" si="0"/>
        <v>0</v>
      </c>
    </row>
    <row r="15" ht="78" spans="1:6">
      <c r="A15" s="13">
        <v>14</v>
      </c>
      <c r="B15" s="15" t="s">
        <v>28</v>
      </c>
      <c r="C15" s="15" t="s">
        <v>29</v>
      </c>
      <c r="D15" s="19"/>
      <c r="E15" s="13"/>
      <c r="F15" s="13">
        <f t="shared" si="0"/>
        <v>0</v>
      </c>
    </row>
    <row r="16" ht="234" spans="1:6">
      <c r="A16" s="13">
        <v>15</v>
      </c>
      <c r="B16" s="14" t="s">
        <v>30</v>
      </c>
      <c r="C16" s="15" t="s">
        <v>31</v>
      </c>
      <c r="D16" s="19"/>
      <c r="E16" s="13"/>
      <c r="F16" s="13">
        <f t="shared" si="0"/>
        <v>0</v>
      </c>
    </row>
    <row r="17" ht="234" spans="1:6">
      <c r="A17" s="13">
        <v>16</v>
      </c>
      <c r="B17" s="14" t="s">
        <v>32</v>
      </c>
      <c r="C17" s="15" t="s">
        <v>33</v>
      </c>
      <c r="D17" s="19"/>
      <c r="E17" s="13"/>
      <c r="F17" s="13">
        <f t="shared" si="0"/>
        <v>0</v>
      </c>
    </row>
    <row r="18" ht="219" spans="1:6">
      <c r="A18" s="13">
        <v>17</v>
      </c>
      <c r="B18" s="14" t="s">
        <v>34</v>
      </c>
      <c r="C18" s="15" t="s">
        <v>35</v>
      </c>
      <c r="D18" s="19"/>
      <c r="E18" s="13"/>
      <c r="F18" s="13">
        <f t="shared" si="0"/>
        <v>0</v>
      </c>
    </row>
    <row r="19" ht="234" spans="1:6">
      <c r="A19" s="13">
        <v>18</v>
      </c>
      <c r="B19" s="15" t="s">
        <v>36</v>
      </c>
      <c r="C19" s="15" t="s">
        <v>37</v>
      </c>
      <c r="D19" s="19"/>
      <c r="E19" s="13"/>
      <c r="F19" s="13">
        <f t="shared" si="0"/>
        <v>0</v>
      </c>
    </row>
    <row r="20" ht="172" spans="1:6">
      <c r="A20" s="13">
        <v>19</v>
      </c>
      <c r="B20" s="20" t="s">
        <v>38</v>
      </c>
      <c r="C20" s="15" t="s">
        <v>39</v>
      </c>
      <c r="D20" s="19"/>
      <c r="E20" s="13"/>
      <c r="F20" s="13">
        <f t="shared" si="0"/>
        <v>0</v>
      </c>
    </row>
    <row r="21" ht="47" spans="1:6">
      <c r="A21" s="13">
        <v>20</v>
      </c>
      <c r="B21" s="14" t="s">
        <v>40</v>
      </c>
      <c r="C21" s="15" t="s">
        <v>41</v>
      </c>
      <c r="D21" s="19"/>
      <c r="E21" s="13"/>
      <c r="F21" s="13">
        <f t="shared" si="0"/>
        <v>0</v>
      </c>
    </row>
    <row r="22" ht="63" spans="1:6">
      <c r="A22" s="13">
        <v>21</v>
      </c>
      <c r="B22" s="20"/>
      <c r="C22" s="15" t="s">
        <v>42</v>
      </c>
      <c r="D22" s="19"/>
      <c r="E22" s="13"/>
      <c r="F22" s="13">
        <f t="shared" si="0"/>
        <v>0</v>
      </c>
    </row>
    <row r="23" ht="63" spans="1:6">
      <c r="A23" s="13">
        <v>22</v>
      </c>
      <c r="B23" s="17"/>
      <c r="C23" s="15" t="s">
        <v>43</v>
      </c>
      <c r="D23" s="19"/>
      <c r="E23" s="13"/>
      <c r="F23" s="13">
        <f t="shared" si="0"/>
        <v>0</v>
      </c>
    </row>
    <row r="24" ht="78" spans="1:6">
      <c r="A24" s="13">
        <v>23</v>
      </c>
      <c r="B24" s="14" t="s">
        <v>44</v>
      </c>
      <c r="C24" s="15" t="s">
        <v>45</v>
      </c>
      <c r="D24" s="19"/>
      <c r="E24" s="13"/>
      <c r="F24" s="13">
        <f t="shared" si="0"/>
        <v>0</v>
      </c>
    </row>
    <row r="25" ht="78" spans="1:6">
      <c r="A25" s="13">
        <v>24</v>
      </c>
      <c r="B25" s="20"/>
      <c r="C25" s="15" t="s">
        <v>46</v>
      </c>
      <c r="D25" s="19"/>
      <c r="E25" s="13"/>
      <c r="F25" s="13">
        <f t="shared" si="0"/>
        <v>0</v>
      </c>
    </row>
    <row r="26" ht="78" spans="1:6">
      <c r="A26" s="13">
        <v>25</v>
      </c>
      <c r="B26" s="20"/>
      <c r="C26" s="15" t="s">
        <v>47</v>
      </c>
      <c r="D26" s="19"/>
      <c r="E26" s="13"/>
      <c r="F26" s="13">
        <f t="shared" si="0"/>
        <v>0</v>
      </c>
    </row>
    <row r="27" ht="94" spans="1:6">
      <c r="A27" s="13">
        <v>26</v>
      </c>
      <c r="B27" s="14" t="s">
        <v>48</v>
      </c>
      <c r="C27" s="15" t="s">
        <v>49</v>
      </c>
      <c r="D27" s="19"/>
      <c r="E27" s="13"/>
      <c r="F27" s="13">
        <f t="shared" si="0"/>
        <v>0</v>
      </c>
    </row>
    <row r="28" ht="78" spans="1:6">
      <c r="A28" s="13">
        <v>27</v>
      </c>
      <c r="B28" s="20"/>
      <c r="C28" s="15" t="s">
        <v>50</v>
      </c>
      <c r="D28" s="19"/>
      <c r="E28" s="13"/>
      <c r="F28" s="13">
        <f t="shared" si="0"/>
        <v>0</v>
      </c>
    </row>
    <row r="29" ht="94" spans="1:6">
      <c r="A29" s="13">
        <v>28</v>
      </c>
      <c r="B29" s="15" t="s">
        <v>51</v>
      </c>
      <c r="C29" s="15" t="s">
        <v>52</v>
      </c>
      <c r="D29" s="19"/>
      <c r="E29" s="13"/>
      <c r="F29" s="13">
        <f t="shared" si="0"/>
        <v>0</v>
      </c>
    </row>
    <row r="30" ht="78" spans="1:6">
      <c r="A30" s="13">
        <v>29</v>
      </c>
      <c r="B30" s="14" t="s">
        <v>53</v>
      </c>
      <c r="C30" s="15" t="s">
        <v>54</v>
      </c>
      <c r="D30" s="19"/>
      <c r="E30" s="13"/>
      <c r="F30" s="13">
        <f t="shared" si="0"/>
        <v>0</v>
      </c>
    </row>
    <row r="31" ht="47" spans="1:6">
      <c r="A31" s="13">
        <v>30</v>
      </c>
      <c r="B31" s="17"/>
      <c r="C31" s="15" t="s">
        <v>55</v>
      </c>
      <c r="D31" s="19"/>
      <c r="E31" s="13"/>
      <c r="F31" s="13">
        <f t="shared" si="0"/>
        <v>0</v>
      </c>
    </row>
    <row r="32" ht="63" spans="1:6">
      <c r="A32" s="13">
        <v>31</v>
      </c>
      <c r="B32" s="15" t="s">
        <v>56</v>
      </c>
      <c r="C32" s="15" t="s">
        <v>57</v>
      </c>
      <c r="D32" s="19"/>
      <c r="E32" s="13"/>
      <c r="F32" s="13">
        <f t="shared" si="0"/>
        <v>0</v>
      </c>
    </row>
    <row r="33" ht="125" spans="1:6">
      <c r="A33" s="13">
        <v>32</v>
      </c>
      <c r="B33" s="15" t="s">
        <v>58</v>
      </c>
      <c r="C33" s="15" t="s">
        <v>59</v>
      </c>
      <c r="D33" s="19"/>
      <c r="E33" s="13"/>
      <c r="F33" s="13">
        <f t="shared" si="0"/>
        <v>0</v>
      </c>
    </row>
    <row r="34" ht="110" spans="1:6">
      <c r="A34" s="13">
        <v>33</v>
      </c>
      <c r="B34" s="15" t="s">
        <v>60</v>
      </c>
      <c r="C34" s="15" t="s">
        <v>61</v>
      </c>
      <c r="D34" s="19"/>
      <c r="E34" s="13"/>
      <c r="F34" s="13">
        <f t="shared" si="0"/>
        <v>0</v>
      </c>
    </row>
    <row r="35" ht="78" spans="1:6">
      <c r="A35" s="13">
        <v>34</v>
      </c>
      <c r="B35" s="15" t="s">
        <v>62</v>
      </c>
      <c r="C35" s="15" t="s">
        <v>63</v>
      </c>
      <c r="D35" s="19"/>
      <c r="E35" s="13"/>
      <c r="F35" s="13">
        <f t="shared" si="0"/>
        <v>0</v>
      </c>
    </row>
    <row r="36" ht="78" spans="1:6">
      <c r="A36" s="13">
        <v>35</v>
      </c>
      <c r="B36" s="15" t="s">
        <v>64</v>
      </c>
      <c r="C36" s="15" t="s">
        <v>65</v>
      </c>
      <c r="D36" s="19"/>
      <c r="E36" s="13"/>
      <c r="F36" s="13">
        <f t="shared" si="0"/>
        <v>0</v>
      </c>
    </row>
    <row r="37" ht="78" spans="1:6">
      <c r="A37" s="13">
        <v>36</v>
      </c>
      <c r="B37" s="14" t="s">
        <v>66</v>
      </c>
      <c r="C37" s="15" t="s">
        <v>67</v>
      </c>
      <c r="D37" s="19"/>
      <c r="E37" s="13"/>
      <c r="F37" s="13">
        <f t="shared" si="0"/>
        <v>0</v>
      </c>
    </row>
    <row r="38" ht="47" spans="1:6">
      <c r="A38" s="13">
        <v>37</v>
      </c>
      <c r="B38" s="14" t="s">
        <v>68</v>
      </c>
      <c r="C38" s="15" t="s">
        <v>69</v>
      </c>
      <c r="D38" s="19"/>
      <c r="E38" s="13"/>
      <c r="F38" s="13">
        <f t="shared" si="0"/>
        <v>0</v>
      </c>
    </row>
    <row r="39" ht="47" spans="1:6">
      <c r="A39" s="13">
        <v>38</v>
      </c>
      <c r="B39" s="17"/>
      <c r="C39" s="15" t="s">
        <v>70</v>
      </c>
      <c r="D39" s="19"/>
      <c r="E39" s="13"/>
      <c r="F39" s="13">
        <f t="shared" si="0"/>
        <v>0</v>
      </c>
    </row>
    <row r="40" ht="172" spans="1:6">
      <c r="A40" s="13">
        <v>39</v>
      </c>
      <c r="B40" s="20" t="s">
        <v>71</v>
      </c>
      <c r="C40" s="15" t="s">
        <v>72</v>
      </c>
      <c r="D40" s="19"/>
      <c r="E40" s="13"/>
      <c r="F40" s="13">
        <f t="shared" si="0"/>
        <v>0</v>
      </c>
    </row>
    <row r="41" ht="172" spans="1:6">
      <c r="A41" s="13">
        <v>40</v>
      </c>
      <c r="B41" s="17"/>
      <c r="C41" s="15" t="s">
        <v>73</v>
      </c>
      <c r="D41" s="19"/>
      <c r="E41" s="13"/>
      <c r="F41" s="13">
        <f t="shared" si="0"/>
        <v>0</v>
      </c>
    </row>
    <row r="42" ht="47" spans="1:6">
      <c r="A42" s="13">
        <v>41</v>
      </c>
      <c r="B42" s="14" t="s">
        <v>74</v>
      </c>
      <c r="C42" s="15" t="s">
        <v>75</v>
      </c>
      <c r="D42" s="19"/>
      <c r="E42" s="13"/>
      <c r="F42" s="13">
        <f t="shared" si="0"/>
        <v>0</v>
      </c>
    </row>
    <row r="43" ht="47" spans="1:6">
      <c r="A43" s="13">
        <v>42</v>
      </c>
      <c r="B43" s="20"/>
      <c r="C43" s="15" t="s">
        <v>76</v>
      </c>
      <c r="D43" s="19"/>
      <c r="E43" s="13"/>
      <c r="F43" s="13">
        <f t="shared" si="0"/>
        <v>0</v>
      </c>
    </row>
    <row r="44" ht="63" spans="1:6">
      <c r="A44" s="13">
        <v>43</v>
      </c>
      <c r="B44" s="20"/>
      <c r="C44" s="15" t="s">
        <v>77</v>
      </c>
      <c r="D44" s="19"/>
      <c r="E44" s="13"/>
      <c r="F44" s="13">
        <f t="shared" si="0"/>
        <v>0</v>
      </c>
    </row>
    <row r="45" ht="63" spans="1:6">
      <c r="A45" s="13">
        <v>44</v>
      </c>
      <c r="B45" s="17"/>
      <c r="C45" s="15" t="s">
        <v>78</v>
      </c>
      <c r="D45" s="19"/>
      <c r="E45" s="13"/>
      <c r="F45" s="13">
        <f t="shared" si="0"/>
        <v>0</v>
      </c>
    </row>
    <row r="46" ht="63" spans="1:6">
      <c r="A46" s="13">
        <v>45</v>
      </c>
      <c r="B46" s="14" t="s">
        <v>79</v>
      </c>
      <c r="C46" s="15" t="s">
        <v>80</v>
      </c>
      <c r="D46" s="19"/>
      <c r="E46" s="13"/>
      <c r="F46" s="13">
        <f t="shared" si="0"/>
        <v>0</v>
      </c>
    </row>
    <row r="47" ht="63" spans="1:6">
      <c r="A47" s="13">
        <v>46</v>
      </c>
      <c r="B47" s="14" t="s">
        <v>81</v>
      </c>
      <c r="C47" s="15" t="s">
        <v>82</v>
      </c>
      <c r="D47" s="19"/>
      <c r="E47" s="13"/>
      <c r="F47" s="13">
        <f t="shared" si="0"/>
        <v>0</v>
      </c>
    </row>
    <row r="48" ht="47" spans="1:6">
      <c r="A48" s="13">
        <v>47</v>
      </c>
      <c r="B48" s="17"/>
      <c r="C48" s="15" t="s">
        <v>83</v>
      </c>
      <c r="D48" s="19"/>
      <c r="E48" s="13"/>
      <c r="F48" s="13">
        <f t="shared" si="0"/>
        <v>0</v>
      </c>
    </row>
    <row r="49" ht="94" spans="1:6">
      <c r="A49" s="13">
        <v>48</v>
      </c>
      <c r="B49" s="20" t="s">
        <v>84</v>
      </c>
      <c r="C49" s="15" t="s">
        <v>85</v>
      </c>
      <c r="D49" s="19"/>
      <c r="E49" s="13"/>
      <c r="F49" s="13">
        <f t="shared" si="0"/>
        <v>0</v>
      </c>
    </row>
    <row r="50" ht="110" spans="1:6">
      <c r="A50" s="13">
        <v>49</v>
      </c>
      <c r="B50" s="20"/>
      <c r="C50" s="18" t="s">
        <v>86</v>
      </c>
      <c r="D50" s="19"/>
      <c r="E50" s="13"/>
      <c r="F50" s="13">
        <f t="shared" si="0"/>
        <v>0</v>
      </c>
    </row>
    <row r="51" ht="31" spans="1:6">
      <c r="A51" s="21">
        <v>5</v>
      </c>
      <c r="B51" s="22" t="s">
        <v>87</v>
      </c>
      <c r="C51" s="22" t="s">
        <v>88</v>
      </c>
      <c r="D51" s="23"/>
      <c r="E51" s="21"/>
      <c r="F51" s="21">
        <f t="shared" si="0"/>
        <v>0</v>
      </c>
    </row>
    <row r="52" ht="31" spans="1:6">
      <c r="A52" s="21">
        <v>7</v>
      </c>
      <c r="B52" s="22" t="s">
        <v>89</v>
      </c>
      <c r="C52" s="22" t="s">
        <v>90</v>
      </c>
      <c r="D52" s="23"/>
      <c r="E52" s="21"/>
      <c r="F52" s="21">
        <f t="shared" si="0"/>
        <v>0</v>
      </c>
    </row>
    <row r="53" ht="107" spans="1:6">
      <c r="A53" s="21">
        <v>12</v>
      </c>
      <c r="B53" s="22" t="s">
        <v>91</v>
      </c>
      <c r="C53" s="22" t="s">
        <v>92</v>
      </c>
      <c r="D53" s="23"/>
      <c r="E53" s="21"/>
      <c r="F53" s="21">
        <f t="shared" si="0"/>
        <v>0</v>
      </c>
    </row>
    <row r="54" ht="250" spans="1:6">
      <c r="A54" s="13">
        <v>50</v>
      </c>
      <c r="B54" s="14" t="s">
        <v>93</v>
      </c>
      <c r="C54" s="15" t="s">
        <v>94</v>
      </c>
      <c r="D54" s="19"/>
      <c r="E54" s="13"/>
      <c r="F54" s="13">
        <f t="shared" si="0"/>
        <v>0</v>
      </c>
    </row>
    <row r="55" ht="203" spans="1:6">
      <c r="A55" s="13">
        <v>51</v>
      </c>
      <c r="B55" s="20"/>
      <c r="C55" s="15" t="s">
        <v>95</v>
      </c>
      <c r="D55" s="19"/>
      <c r="E55" s="13"/>
      <c r="F55" s="13">
        <f t="shared" si="0"/>
        <v>0</v>
      </c>
    </row>
    <row r="56" ht="203" spans="1:6">
      <c r="A56" s="13"/>
      <c r="B56" s="20"/>
      <c r="C56" s="15" t="s">
        <v>96</v>
      </c>
      <c r="D56" s="19"/>
      <c r="E56" s="13"/>
      <c r="F56" s="13">
        <f t="shared" si="0"/>
        <v>0</v>
      </c>
    </row>
    <row r="57" ht="172" spans="1:6">
      <c r="A57" s="13">
        <v>52</v>
      </c>
      <c r="B57" s="20"/>
      <c r="C57" s="15" t="s">
        <v>97</v>
      </c>
      <c r="D57" s="19"/>
      <c r="E57" s="13"/>
      <c r="F57" s="13">
        <f t="shared" si="0"/>
        <v>0</v>
      </c>
    </row>
    <row r="58" ht="78" spans="1:6">
      <c r="A58" s="13">
        <v>53</v>
      </c>
      <c r="B58" s="17"/>
      <c r="C58" s="15" t="s">
        <v>98</v>
      </c>
      <c r="D58" s="19"/>
      <c r="E58" s="13"/>
      <c r="F58" s="13">
        <f t="shared" si="0"/>
        <v>0</v>
      </c>
    </row>
    <row r="59" spans="1:6">
      <c r="A59" s="13"/>
      <c r="B59" s="24"/>
      <c r="C59" s="24"/>
      <c r="D59" s="19"/>
      <c r="E59" s="13" t="s">
        <v>99</v>
      </c>
      <c r="F59" s="25">
        <f>SUM(F2:F58)</f>
        <v>0</v>
      </c>
    </row>
  </sheetData>
  <mergeCells count="13">
    <mergeCell ref="B2:B3"/>
    <mergeCell ref="B4:B5"/>
    <mergeCell ref="B10:B12"/>
    <mergeCell ref="B21:B23"/>
    <mergeCell ref="B24:B26"/>
    <mergeCell ref="B27:B28"/>
    <mergeCell ref="B30:B31"/>
    <mergeCell ref="B38:B39"/>
    <mergeCell ref="B40:B41"/>
    <mergeCell ref="B42:B45"/>
    <mergeCell ref="B47:B48"/>
    <mergeCell ref="B49:B50"/>
    <mergeCell ref="B54:B5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topLeftCell="A19" workbookViewId="0">
      <selection activeCell="I23" sqref="I23"/>
    </sheetView>
  </sheetViews>
  <sheetFormatPr defaultColWidth="9.23076923076923" defaultRowHeight="16.8" outlineLevelCol="4"/>
  <sheetData>
    <row r="1" ht="17" spans="1:5">
      <c r="A1" s="1" t="s">
        <v>100</v>
      </c>
      <c r="B1" s="2"/>
      <c r="C1" s="3" t="s">
        <v>101</v>
      </c>
      <c r="D1" s="4" t="s">
        <v>4</v>
      </c>
      <c r="E1" s="4" t="s">
        <v>102</v>
      </c>
    </row>
    <row r="2" ht="68" spans="1:5">
      <c r="A2" s="5" t="s">
        <v>103</v>
      </c>
      <c r="B2" s="2"/>
      <c r="C2" s="3"/>
      <c r="D2" s="4"/>
      <c r="E2" s="4">
        <f t="shared" ref="E2:E23" si="0">C2*D2</f>
        <v>0</v>
      </c>
    </row>
    <row r="3" ht="68" spans="1:5">
      <c r="A3" s="5" t="s">
        <v>104</v>
      </c>
      <c r="B3" s="2"/>
      <c r="C3" s="3"/>
      <c r="D3" s="4"/>
      <c r="E3" s="4">
        <f t="shared" si="0"/>
        <v>0</v>
      </c>
    </row>
    <row r="4" ht="34" spans="1:5">
      <c r="A4" s="1" t="s">
        <v>105</v>
      </c>
      <c r="B4" s="2"/>
      <c r="C4" s="3"/>
      <c r="D4" s="4"/>
      <c r="E4" s="4">
        <f t="shared" si="0"/>
        <v>0</v>
      </c>
    </row>
    <row r="5" ht="17" spans="1:5">
      <c r="A5" s="1" t="s">
        <v>106</v>
      </c>
      <c r="B5" s="2"/>
      <c r="C5" s="3"/>
      <c r="D5" s="4"/>
      <c r="E5" s="4">
        <f t="shared" si="0"/>
        <v>0</v>
      </c>
    </row>
    <row r="6" ht="84" spans="1:5">
      <c r="A6" s="1" t="s">
        <v>107</v>
      </c>
      <c r="B6" s="2"/>
      <c r="C6" s="3"/>
      <c r="D6" s="4"/>
      <c r="E6" s="4">
        <f t="shared" si="0"/>
        <v>0</v>
      </c>
    </row>
    <row r="7" ht="84" spans="1:5">
      <c r="A7" s="1" t="s">
        <v>108</v>
      </c>
      <c r="B7" s="2"/>
      <c r="C7" s="3"/>
      <c r="D7" s="4"/>
      <c r="E7" s="4">
        <f t="shared" si="0"/>
        <v>0</v>
      </c>
    </row>
    <row r="8" ht="84" spans="1:5">
      <c r="A8" s="1" t="s">
        <v>109</v>
      </c>
      <c r="B8" s="2"/>
      <c r="C8" s="3"/>
      <c r="D8" s="4"/>
      <c r="E8" s="4">
        <f t="shared" si="0"/>
        <v>0</v>
      </c>
    </row>
    <row r="9" ht="101" spans="1:5">
      <c r="A9" s="1" t="s">
        <v>110</v>
      </c>
      <c r="B9" s="2"/>
      <c r="C9" s="3"/>
      <c r="D9" s="4"/>
      <c r="E9" s="4">
        <f t="shared" si="0"/>
        <v>0</v>
      </c>
    </row>
    <row r="10" ht="152" spans="1:5">
      <c r="A10" s="6" t="s">
        <v>111</v>
      </c>
      <c r="B10" s="2"/>
      <c r="C10" s="7"/>
      <c r="D10" s="4"/>
      <c r="E10" s="4">
        <f t="shared" si="0"/>
        <v>0</v>
      </c>
    </row>
    <row r="11" ht="106" spans="1:5">
      <c r="A11" s="8" t="s">
        <v>112</v>
      </c>
      <c r="B11" s="2"/>
      <c r="C11" s="7"/>
      <c r="D11" s="4"/>
      <c r="E11" s="4">
        <f t="shared" si="0"/>
        <v>0</v>
      </c>
    </row>
    <row r="12" ht="106" spans="1:5">
      <c r="A12" s="8" t="s">
        <v>113</v>
      </c>
      <c r="B12" s="2"/>
      <c r="C12" s="7"/>
      <c r="D12" s="4"/>
      <c r="E12" s="4">
        <f t="shared" si="0"/>
        <v>0</v>
      </c>
    </row>
    <row r="13" ht="106" spans="1:5">
      <c r="A13" s="8" t="s">
        <v>114</v>
      </c>
      <c r="B13" s="2"/>
      <c r="C13" s="7"/>
      <c r="D13" s="4"/>
      <c r="E13" s="4">
        <f t="shared" si="0"/>
        <v>0</v>
      </c>
    </row>
    <row r="14" ht="159" spans="1:5">
      <c r="A14" s="8" t="s">
        <v>115</v>
      </c>
      <c r="B14" s="2"/>
      <c r="C14" s="7"/>
      <c r="D14" s="4"/>
      <c r="E14" s="4">
        <f t="shared" si="0"/>
        <v>0</v>
      </c>
    </row>
    <row r="15" ht="212" spans="1:5">
      <c r="A15" s="8" t="s">
        <v>116</v>
      </c>
      <c r="B15" s="2"/>
      <c r="C15" s="3"/>
      <c r="D15" s="4"/>
      <c r="E15" s="4">
        <f t="shared" si="0"/>
        <v>0</v>
      </c>
    </row>
    <row r="16" ht="159" spans="1:5">
      <c r="A16" s="8" t="s">
        <v>117</v>
      </c>
      <c r="B16" s="2"/>
      <c r="C16" s="3"/>
      <c r="D16" s="4"/>
      <c r="E16" s="4">
        <f t="shared" si="0"/>
        <v>0</v>
      </c>
    </row>
    <row r="17" ht="159" spans="1:5">
      <c r="A17" s="8" t="s">
        <v>118</v>
      </c>
      <c r="B17" s="2"/>
      <c r="C17" s="3"/>
      <c r="D17" s="4"/>
      <c r="E17" s="4">
        <f t="shared" si="0"/>
        <v>0</v>
      </c>
    </row>
    <row r="18" ht="212" spans="1:5">
      <c r="A18" s="8" t="s">
        <v>119</v>
      </c>
      <c r="B18" s="2"/>
      <c r="C18" s="3"/>
      <c r="D18" s="4"/>
      <c r="E18" s="4">
        <f t="shared" si="0"/>
        <v>0</v>
      </c>
    </row>
    <row r="19" ht="106" spans="1:5">
      <c r="A19" s="8" t="s">
        <v>120</v>
      </c>
      <c r="B19" s="2"/>
      <c r="C19" s="3"/>
      <c r="D19" s="4"/>
      <c r="E19" s="4">
        <f t="shared" si="0"/>
        <v>0</v>
      </c>
    </row>
    <row r="20" ht="106" spans="1:5">
      <c r="A20" s="8" t="s">
        <v>121</v>
      </c>
      <c r="B20" s="2"/>
      <c r="C20" s="3"/>
      <c r="D20" s="4"/>
      <c r="E20" s="4">
        <f t="shared" si="0"/>
        <v>0</v>
      </c>
    </row>
    <row r="21" ht="34" spans="1:5">
      <c r="A21" s="1" t="s">
        <v>122</v>
      </c>
      <c r="B21" s="2"/>
      <c r="C21" s="3"/>
      <c r="D21" s="4"/>
      <c r="E21" s="4">
        <f t="shared" si="0"/>
        <v>0</v>
      </c>
    </row>
    <row r="22" ht="34" spans="1:5">
      <c r="A22" s="1" t="s">
        <v>123</v>
      </c>
      <c r="B22" s="2"/>
      <c r="C22" s="9"/>
      <c r="D22" s="4"/>
      <c r="E22" s="4">
        <f t="shared" si="0"/>
        <v>0</v>
      </c>
    </row>
    <row r="23" ht="34" spans="1:5">
      <c r="A23" s="1" t="s">
        <v>124</v>
      </c>
      <c r="B23" s="2"/>
      <c r="C23" s="9"/>
      <c r="D23" s="4"/>
      <c r="E23" s="4">
        <f t="shared" si="0"/>
        <v>0</v>
      </c>
    </row>
    <row r="24" spans="1:5">
      <c r="A24" s="2" t="s">
        <v>99</v>
      </c>
      <c r="B24" s="2"/>
      <c r="C24" s="3"/>
      <c r="D24" s="4"/>
      <c r="E24" s="2">
        <f>SUM(E2:E23)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</dc:creator>
  <cp:lastModifiedBy>「KMnO4」</cp:lastModifiedBy>
  <dcterms:created xsi:type="dcterms:W3CDTF">2025-12-11T03:19:00Z</dcterms:created>
  <dcterms:modified xsi:type="dcterms:W3CDTF">2025-12-11T19:27:13Z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F3A61F78363200992D5739690F533AA0_41</vt:lpwstr>
  </property>
  <property fmtid="{D5CDD505-2E9C-101B-9397-08002B2CF9AE}" pid="3" name="KSOProductBuildVer">
    <vt:lpwstr>2052-12.1.23540.23540</vt:lpwstr>
  </property>
</Properties>
</file>